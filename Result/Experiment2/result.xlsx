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ocument\2024_2026\HU\Research\VibrationTestingTool\TSE\202603Maj\Result\"/>
    </mc:Choice>
  </mc:AlternateContent>
  <xr:revisionPtr revIDLastSave="0" documentId="13_ncr:1_{670208F9-BBB3-4C31-AAE2-15E23674F45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3" i="1" l="1"/>
  <c r="F53" i="1"/>
  <c r="J53" i="1"/>
  <c r="H53" i="1"/>
  <c r="H54" i="1"/>
  <c r="J54" i="1"/>
  <c r="L54" i="1"/>
  <c r="F54" i="1"/>
  <c r="M2" i="1" a="1"/>
  <c r="M2" i="1" s="1"/>
  <c r="M54" i="1" s="1"/>
  <c r="K2" i="1" a="1"/>
  <c r="K2" i="1" s="1"/>
  <c r="K54" i="1" s="1"/>
  <c r="G2" i="1" a="1"/>
  <c r="G2" i="1" s="1"/>
  <c r="G54" i="1" s="1"/>
  <c r="D53" i="1"/>
  <c r="E53" i="1"/>
  <c r="D54" i="1"/>
  <c r="E54" i="1"/>
  <c r="C54" i="1"/>
  <c r="C53" i="1"/>
  <c r="I2" i="1" a="1"/>
  <c r="I2" i="1" s="1"/>
  <c r="I5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<sst xmlns="http://schemas.openxmlformats.org/spreadsheetml/2006/main" count="115" uniqueCount="115">
  <si>
    <t>class</t>
    <phoneticPr fontId="1" type="noConversion"/>
  </si>
  <si>
    <t>tests</t>
    <phoneticPr fontId="1" type="noConversion"/>
  </si>
  <si>
    <t>total_mutants</t>
    <phoneticPr fontId="1" type="noConversion"/>
  </si>
  <si>
    <t>VM_MutationScore</t>
    <phoneticPr fontId="1" type="noConversion"/>
  </si>
  <si>
    <t>OVM_killed</t>
    <phoneticPr fontId="1" type="noConversion"/>
  </si>
  <si>
    <t>OVM_MutationScore</t>
    <phoneticPr fontId="1" type="noConversion"/>
  </si>
  <si>
    <t>Z3_killed</t>
    <phoneticPr fontId="1" type="noConversion"/>
  </si>
  <si>
    <t>Z3_MutationScore</t>
    <phoneticPr fontId="1" type="noConversion"/>
  </si>
  <si>
    <t>Fuzzing_killed</t>
    <phoneticPr fontId="1" type="noConversion"/>
  </si>
  <si>
    <t>Fuzzing_MutationScore</t>
    <phoneticPr fontId="1" type="noConversion"/>
  </si>
  <si>
    <t>VM_killed(detected faults)</t>
    <phoneticPr fontId="1" type="noConversion"/>
  </si>
  <si>
    <t>id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</si>
  <si>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</si>
  <si>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</si>
  <si>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</si>
  <si>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</si>
  <si>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</si>
  <si>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</si>
  <si>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</si>
  <si>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</si>
  <si>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</si>
  <si>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</si>
  <si>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</si>
  <si>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</si>
  <si>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</si>
  <si>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</si>
  <si>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</si>
  <si>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</si>
  <si>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</si>
  <si>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</si>
  <si>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</si>
  <si>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</si>
  <si>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</si>
  <si>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</si>
  <si>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</si>
  <si>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</si>
  <si>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</si>
  <si>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</si>
  <si>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</si>
  <si>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</si>
  <si>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</si>
  <si>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</si>
  <si>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</si>
  <si>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</si>
  <si>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</si>
  <si>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</si>
  <si>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</si>
  <si>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</si>
  <si>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</si>
  <si>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</si>
  <si>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</si>
  <si>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</si>
  <si>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</si>
  <si>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</si>
  <si>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</si>
  <si>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</si>
  <si>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</si>
  <si>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</si>
  <si>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</si>
  <si>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</si>
  <si>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</si>
  <si>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</si>
  <si>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i1_PointPositionAndBlockCheck</t>
  </si>
  <si>
    <t>i2_PointOperation</t>
  </si>
  <si>
    <t>LOC</t>
    <phoneticPr fontId="1" type="noConversion"/>
  </si>
  <si>
    <t>i3_NormalTrainPassDetection</t>
  </si>
  <si>
    <t>i4_NormalTrainPassUnlock</t>
  </si>
  <si>
    <t>i5_ManualDelayedRouteUnlock</t>
  </si>
  <si>
    <t>i6_CancelUnlock</t>
  </si>
  <si>
    <t>i7_SectionFaultUnlock</t>
  </si>
  <si>
    <t>i8_TrainRouteSet</t>
  </si>
  <si>
    <t>i9_TrainRouteLock</t>
  </si>
  <si>
    <t>i10_SignalChangeAndTrainRouteUnlock</t>
  </si>
  <si>
    <t>i11_SplitPointRouteLockConditionCheck</t>
  </si>
  <si>
    <t>i12_RouteSettingPointHandling</t>
  </si>
  <si>
    <t>i13_TrainRouteClaim</t>
  </si>
  <si>
    <t>i14_SplitPointRouteSetConditionCheck</t>
  </si>
  <si>
    <t>i15_TrainSignalChange</t>
  </si>
  <si>
    <t>i16_TrainApproachLockCheck</t>
  </si>
  <si>
    <t>i17_TrainRouteUnlock</t>
  </si>
  <si>
    <t>i18_SplitPointSignalOpenCheck</t>
  </si>
  <si>
    <t>i20_PointControlDecom</t>
  </si>
  <si>
    <t>i21_PointSingleOperation</t>
  </si>
  <si>
    <t>i22_RouteSettingOperation</t>
  </si>
  <si>
    <t>i23_SwitchNormalOperation</t>
  </si>
  <si>
    <t>i24_SwitchPositionCheck</t>
  </si>
  <si>
    <t>i25_SwitchReverseOperation</t>
  </si>
  <si>
    <t>i26_SwitchOpResult</t>
  </si>
  <si>
    <t>i27_RouteLockingCheck</t>
  </si>
  <si>
    <t>i28_SignalOpeningPermissionCheck</t>
  </si>
  <si>
    <t>i29_SignalKeepingCheck</t>
  </si>
  <si>
    <t>i30_RouteReleaseCheck</t>
  </si>
  <si>
    <t>i31_AbnormalRouteReleaseCheck</t>
  </si>
  <si>
    <t>i32_ManualSwitchOperationCheck</t>
  </si>
  <si>
    <t>i33_CallOnRouteLockingCheck</t>
  </si>
  <si>
    <t>i34_SignalClosureCheck</t>
  </si>
  <si>
    <t>i35_SpecialShuntingRouteCheck</t>
  </si>
  <si>
    <t>i36_TrackOccupancyProtectionCheck</t>
  </si>
  <si>
    <t>i37_ConflictingRoutePreventionCheck</t>
  </si>
  <si>
    <t>i38_PointPositionConsistencyCheck</t>
  </si>
  <si>
    <t>i39_RouteIdleStateCheck</t>
  </si>
  <si>
    <t>i40_RouteSettingReadinessCheck</t>
  </si>
  <si>
    <t>i41_SignalIndicationConsistencyCheck</t>
  </si>
  <si>
    <t>i42_RouteCompletionStateCheck</t>
  </si>
  <si>
    <t>i43_HazardSignalPermissivePreventionCheck</t>
  </si>
  <si>
    <t>i44_ConflictingRouteHazardDetectionCheck</t>
  </si>
  <si>
    <t>i45_PointNoIndicationHazardDetectionCheck</t>
  </si>
  <si>
    <t>i46_ObstacleOnRouteHazardDetectionCheck</t>
  </si>
  <si>
    <t>i47_TrackOccupiedHazardDetectionCheck</t>
  </si>
  <si>
    <t>i48_UnsafeRouteReleaseHazardDetectionCheck</t>
  </si>
  <si>
    <t>i49_UnsafePointMovementHazardDetectionCheck</t>
  </si>
  <si>
    <t>i50_UnsafeSignalOpeningCommandHazardDetectionCheck</t>
  </si>
  <si>
    <t>AVG</t>
    <phoneticPr fontId="1" type="noConversion"/>
  </si>
  <si>
    <t>Total</t>
    <phoneticPr fontId="1" type="noConversion"/>
  </si>
  <si>
    <t>i19_SplitPointUnlock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</si>
</sst>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10" fontId="0" fillId="0" borderId="0" xfId="1" applyNumberFormat="1" applyFont="1" applyAlignment="1"/>
    <xf numFmtId="0" fontId="0" fillId="0" borderId="0" xfId="0" applyAlignment="1">
      <alignment vertical="center"/>
    </xf>
    <xf numFmtId="9" fontId="0" fillId="0" borderId="0" xfId="1" applyFont="1" applyAlignment="1"/>
    <xf numFmtId="10" fontId="0" fillId="0" borderId="0" xfId="0" applyNumberFormat="1"/>
    <xf numFmtId="2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topLeftCell="A25" workbookViewId="0">
      <selection activeCell="J57" sqref="J57"/>
    </sheetView>
  </sheetViews>
  <sheetFormatPr defaultRowHeight="13.9" x14ac:dyDescent="0.4"/>
  <cols>
    <col min="2" max="2" width="34.06640625" customWidth="1"/>
    <col min="4" max="4" width="5.6640625" customWidth="1"/>
    <col min="5" max="5" width="12.9296875" customWidth="1"/>
    <col min="6" max="6" width="17.33203125" customWidth="1"/>
    <col min="7" max="7" width="16.265625" customWidth="1"/>
    <col min="8" max="8" width="10.19921875" customWidth="1"/>
    <col min="9" max="9" width="18.06640625" customWidth="1"/>
    <col min="10" max="10" width="8.796875" customWidth="1"/>
    <col min="11" max="11" width="12.06640625" customWidth="1"/>
    <col min="12" max="12" width="12.33203125" customWidth="1"/>
    <col min="13" max="13" width="20.33203125" customWidth="1"/>
  </cols>
  <sheetData>
    <row r="1" spans="1:13" x14ac:dyDescent="0.4">
      <c r="A1" t="s">
        <v>11</v>
      </c>
      <c r="B1" t="s">
        <v>0</v>
      </c>
      <c r="C1" t="s">
        <v>64</v>
      </c>
      <c r="D1" t="s">
        <v>1</v>
      </c>
      <c r="E1" t="s">
        <v>2</v>
      </c>
      <c r="F1" t="s">
        <v>10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4">
      <c r="A2" t="s">
        <v>12</v>
      </c>
      <c r="B2" t="s">
        <v>62</v>
      </c>
      <c r="C2">
        <v>147</v>
      </c>
      <c r="D2">
        <v>30</v>
      </c>
      <c r="E2">
        <v>50</v>
      </c>
      <c r="F2" s="2">
        <v>36</v>
      </c>
      <c r="G2" s="1" cm="1">
        <f t="array" ref="G2:G51">F2:F51/E2:E51</f>
        <v>0.72</v>
      </c>
      <c r="H2">
        <v>33</v>
      </c>
      <c r="I2" s="1" cm="1">
        <f t="array" ref="I2:I51">H2:H51/E2:E51</f>
        <v>0.66</v>
      </c>
      <c r="J2" s="2">
        <v>32</v>
      </c>
      <c r="K2" s="1" cm="1">
        <f t="array" ref="K2:K51">J2:J51/E2:E51</f>
        <v>0.64</v>
      </c>
      <c r="L2" s="2">
        <v>26</v>
      </c>
      <c r="M2" s="1" cm="1">
        <f t="array" ref="M2:M51">L2:L51/E2:E51</f>
        <v>0.52</v>
      </c>
    </row>
    <row r="3" spans="1:13" x14ac:dyDescent="0.4">
      <c r="A3" t="s">
        <v>13</v>
      </c>
      <c r="B3" t="s">
        <v>63</v>
      </c>
      <c r="C3">
        <v>534</v>
      </c>
      <c r="D3">
        <v>30</v>
      </c>
      <c r="E3">
        <v>131</v>
      </c>
      <c r="F3" s="2">
        <v>104</v>
      </c>
      <c r="G3" s="1">
        <v>0.79389312977099236</v>
      </c>
      <c r="H3">
        <v>92</v>
      </c>
      <c r="I3" s="1">
        <v>0.70229007633587781</v>
      </c>
      <c r="J3" s="2">
        <v>84</v>
      </c>
      <c r="K3" s="1">
        <v>0.64122137404580148</v>
      </c>
      <c r="L3" s="2">
        <v>65</v>
      </c>
      <c r="M3" s="1">
        <v>0.49618320610687022</v>
      </c>
    </row>
    <row r="4" spans="1:13" x14ac:dyDescent="0.4">
      <c r="A4" t="s">
        <v>14</v>
      </c>
      <c r="B4" t="s">
        <v>65</v>
      </c>
      <c r="C4">
        <v>412</v>
      </c>
      <c r="D4">
        <v>30</v>
      </c>
      <c r="E4">
        <v>102</v>
      </c>
      <c r="F4" s="2">
        <v>78</v>
      </c>
      <c r="G4" s="1">
        <v>0.76470588235294112</v>
      </c>
      <c r="H4">
        <v>71</v>
      </c>
      <c r="I4" s="1">
        <v>0.69607843137254899</v>
      </c>
      <c r="J4" s="2">
        <v>63</v>
      </c>
      <c r="K4" s="1">
        <v>0.61764705882352944</v>
      </c>
      <c r="L4" s="2">
        <v>50</v>
      </c>
      <c r="M4" s="1">
        <v>0.49019607843137253</v>
      </c>
    </row>
    <row r="5" spans="1:13" x14ac:dyDescent="0.4">
      <c r="A5" t="s">
        <v>15</v>
      </c>
      <c r="B5" t="s">
        <v>66</v>
      </c>
      <c r="C5">
        <v>487</v>
      </c>
      <c r="D5">
        <v>30</v>
      </c>
      <c r="E5">
        <v>168</v>
      </c>
      <c r="F5" s="2">
        <v>148</v>
      </c>
      <c r="G5" s="1">
        <v>0.88095238095238093</v>
      </c>
      <c r="H5">
        <v>130</v>
      </c>
      <c r="I5" s="1">
        <v>0.77380952380952384</v>
      </c>
      <c r="J5" s="2">
        <v>121</v>
      </c>
      <c r="K5" s="1">
        <v>0.72023809523809523</v>
      </c>
      <c r="L5" s="2">
        <v>89</v>
      </c>
      <c r="M5" s="1">
        <v>0.52976190476190477</v>
      </c>
    </row>
    <row r="6" spans="1:13" x14ac:dyDescent="0.4">
      <c r="A6" t="s">
        <v>16</v>
      </c>
      <c r="B6" t="s">
        <v>67</v>
      </c>
      <c r="C6">
        <v>682</v>
      </c>
      <c r="D6">
        <v>30</v>
      </c>
      <c r="E6">
        <v>301</v>
      </c>
      <c r="F6" s="2">
        <v>226</v>
      </c>
      <c r="G6" s="1">
        <v>0.75083056478405319</v>
      </c>
      <c r="H6">
        <v>172</v>
      </c>
      <c r="I6" s="1">
        <v>0.5714285714285714</v>
      </c>
      <c r="J6" s="2">
        <v>153</v>
      </c>
      <c r="K6" s="1">
        <v>0.50830564784053156</v>
      </c>
      <c r="L6" s="2">
        <v>104</v>
      </c>
      <c r="M6" s="1">
        <v>0.34551495016611294</v>
      </c>
    </row>
    <row r="7" spans="1:13" x14ac:dyDescent="0.4">
      <c r="A7" t="s">
        <v>17</v>
      </c>
      <c r="B7" t="s">
        <v>68</v>
      </c>
      <c r="C7">
        <v>388</v>
      </c>
      <c r="D7">
        <v>30</v>
      </c>
      <c r="E7">
        <v>112</v>
      </c>
      <c r="F7" s="2">
        <v>90</v>
      </c>
      <c r="G7" s="1">
        <v>0.8035714285714286</v>
      </c>
      <c r="H7">
        <v>80</v>
      </c>
      <c r="I7" s="1">
        <v>0.7142857142857143</v>
      </c>
      <c r="J7" s="2">
        <v>75</v>
      </c>
      <c r="K7" s="1">
        <v>0.6696428571428571</v>
      </c>
      <c r="L7" s="2">
        <v>60</v>
      </c>
      <c r="M7" s="1">
        <v>0.5357142857142857</v>
      </c>
    </row>
    <row r="8" spans="1:13" x14ac:dyDescent="0.4">
      <c r="A8" t="s">
        <v>18</v>
      </c>
      <c r="B8" t="s">
        <v>69</v>
      </c>
      <c r="C8">
        <v>237</v>
      </c>
      <c r="D8">
        <v>30</v>
      </c>
      <c r="E8">
        <v>79</v>
      </c>
      <c r="F8" s="2">
        <v>55</v>
      </c>
      <c r="G8" s="1">
        <v>0.69620253164556967</v>
      </c>
      <c r="H8">
        <v>49</v>
      </c>
      <c r="I8" s="1">
        <v>0.620253164556962</v>
      </c>
      <c r="J8" s="2">
        <v>44</v>
      </c>
      <c r="K8" s="1">
        <v>0.55696202531645567</v>
      </c>
      <c r="L8" s="2">
        <v>32</v>
      </c>
      <c r="M8" s="1">
        <v>0.4050632911392405</v>
      </c>
    </row>
    <row r="9" spans="1:13" x14ac:dyDescent="0.4">
      <c r="A9" t="s">
        <v>19</v>
      </c>
      <c r="B9" t="s">
        <v>70</v>
      </c>
      <c r="C9">
        <v>111</v>
      </c>
      <c r="D9">
        <v>30</v>
      </c>
      <c r="E9">
        <v>15</v>
      </c>
      <c r="F9" s="2">
        <v>8</v>
      </c>
      <c r="G9" s="1">
        <v>0.53333333333333333</v>
      </c>
      <c r="H9">
        <v>8</v>
      </c>
      <c r="I9" s="1">
        <v>0.53333333333333333</v>
      </c>
      <c r="J9" s="2">
        <v>8</v>
      </c>
      <c r="K9" s="1">
        <v>0.53333333333333333</v>
      </c>
      <c r="L9" s="2">
        <v>5</v>
      </c>
      <c r="M9" s="1">
        <v>0.33333333333333331</v>
      </c>
    </row>
    <row r="10" spans="1:13" x14ac:dyDescent="0.4">
      <c r="A10" t="s">
        <v>20</v>
      </c>
      <c r="B10" t="s">
        <v>71</v>
      </c>
      <c r="C10">
        <v>571</v>
      </c>
      <c r="D10">
        <v>30</v>
      </c>
      <c r="E10">
        <v>145</v>
      </c>
      <c r="F10" s="2">
        <v>122</v>
      </c>
      <c r="G10" s="1">
        <v>0.8413793103448276</v>
      </c>
      <c r="H10">
        <v>107</v>
      </c>
      <c r="I10" s="1">
        <v>0.73793103448275865</v>
      </c>
      <c r="J10" s="2">
        <v>104</v>
      </c>
      <c r="K10" s="1">
        <v>0.71724137931034482</v>
      </c>
      <c r="L10" s="2">
        <v>83</v>
      </c>
      <c r="M10" s="1">
        <v>0.57241379310344831</v>
      </c>
    </row>
    <row r="11" spans="1:13" x14ac:dyDescent="0.4">
      <c r="A11" t="s">
        <v>21</v>
      </c>
      <c r="B11" t="s">
        <v>72</v>
      </c>
      <c r="C11">
        <v>90</v>
      </c>
      <c r="D11">
        <v>30</v>
      </c>
      <c r="E11">
        <v>17</v>
      </c>
      <c r="F11" s="2">
        <v>8</v>
      </c>
      <c r="G11" s="1">
        <v>0.47058823529411764</v>
      </c>
      <c r="H11">
        <v>5</v>
      </c>
      <c r="I11" s="1">
        <v>0.29411764705882354</v>
      </c>
      <c r="J11" s="2">
        <v>4</v>
      </c>
      <c r="K11" s="1">
        <v>0.23529411764705882</v>
      </c>
      <c r="L11" s="2">
        <v>2</v>
      </c>
      <c r="M11" s="1">
        <v>0.11764705882352941</v>
      </c>
    </row>
    <row r="12" spans="1:13" x14ac:dyDescent="0.4">
      <c r="A12" t="s">
        <v>22</v>
      </c>
      <c r="B12" t="s">
        <v>73</v>
      </c>
      <c r="C12">
        <v>304</v>
      </c>
      <c r="D12">
        <v>30</v>
      </c>
      <c r="E12">
        <v>60</v>
      </c>
      <c r="F12" s="2">
        <v>51</v>
      </c>
      <c r="G12" s="1">
        <v>0.85</v>
      </c>
      <c r="H12">
        <v>46</v>
      </c>
      <c r="I12" s="1">
        <v>0.76666666666666672</v>
      </c>
      <c r="J12" s="2">
        <v>42</v>
      </c>
      <c r="K12" s="1">
        <v>0.7</v>
      </c>
      <c r="L12" s="2">
        <v>36</v>
      </c>
      <c r="M12" s="1">
        <v>0.6</v>
      </c>
    </row>
    <row r="13" spans="1:13" x14ac:dyDescent="0.4">
      <c r="A13" t="s">
        <v>23</v>
      </c>
      <c r="B13" t="s">
        <v>74</v>
      </c>
      <c r="C13">
        <v>110</v>
      </c>
      <c r="D13">
        <v>30</v>
      </c>
      <c r="E13">
        <v>18</v>
      </c>
      <c r="F13" s="2">
        <v>11</v>
      </c>
      <c r="G13" s="1">
        <v>0.61111111111111116</v>
      </c>
      <c r="H13">
        <v>8</v>
      </c>
      <c r="I13" s="1">
        <v>0.44444444444444442</v>
      </c>
      <c r="J13" s="2">
        <v>7</v>
      </c>
      <c r="K13" s="1">
        <v>0.3888888888888889</v>
      </c>
      <c r="L13" s="2">
        <v>5</v>
      </c>
      <c r="M13" s="1">
        <v>0.27777777777777779</v>
      </c>
    </row>
    <row r="14" spans="1:13" x14ac:dyDescent="0.4">
      <c r="A14" t="s">
        <v>24</v>
      </c>
      <c r="B14" t="s">
        <v>75</v>
      </c>
      <c r="C14">
        <v>461</v>
      </c>
      <c r="D14">
        <v>30</v>
      </c>
      <c r="E14">
        <v>149</v>
      </c>
      <c r="F14" s="2">
        <v>121</v>
      </c>
      <c r="G14" s="1">
        <v>0.81208053691275173</v>
      </c>
      <c r="H14">
        <v>106</v>
      </c>
      <c r="I14" s="1">
        <v>0.71140939597315433</v>
      </c>
      <c r="J14" s="2">
        <v>91</v>
      </c>
      <c r="K14" s="1">
        <v>0.61073825503355705</v>
      </c>
      <c r="L14" s="2">
        <v>63</v>
      </c>
      <c r="M14" s="1">
        <v>0.42281879194630873</v>
      </c>
    </row>
    <row r="15" spans="1:13" x14ac:dyDescent="0.4">
      <c r="A15" t="s">
        <v>25</v>
      </c>
      <c r="B15" t="s">
        <v>76</v>
      </c>
      <c r="C15">
        <v>343</v>
      </c>
      <c r="D15">
        <v>30</v>
      </c>
      <c r="E15">
        <v>98</v>
      </c>
      <c r="F15" s="2">
        <v>72</v>
      </c>
      <c r="G15" s="1">
        <v>0.73469387755102045</v>
      </c>
      <c r="H15">
        <v>62</v>
      </c>
      <c r="I15" s="1">
        <v>0.63265306122448983</v>
      </c>
      <c r="J15" s="2">
        <v>55</v>
      </c>
      <c r="K15" s="1">
        <v>0.56122448979591832</v>
      </c>
      <c r="L15" s="2">
        <v>48</v>
      </c>
      <c r="M15" s="1">
        <v>0.48979591836734693</v>
      </c>
    </row>
    <row r="16" spans="1:13" x14ac:dyDescent="0.4">
      <c r="A16" t="s">
        <v>26</v>
      </c>
      <c r="B16" t="s">
        <v>77</v>
      </c>
      <c r="C16">
        <v>835</v>
      </c>
      <c r="D16">
        <v>30</v>
      </c>
      <c r="E16">
        <v>169</v>
      </c>
      <c r="F16" s="2">
        <v>150</v>
      </c>
      <c r="G16" s="1">
        <v>0.8875739644970414</v>
      </c>
      <c r="H16">
        <v>124</v>
      </c>
      <c r="I16" s="1">
        <v>0.73372781065088755</v>
      </c>
      <c r="J16" s="2">
        <v>100</v>
      </c>
      <c r="K16" s="1">
        <v>0.59171597633136097</v>
      </c>
      <c r="L16" s="2">
        <v>75</v>
      </c>
      <c r="M16" s="1">
        <v>0.4437869822485207</v>
      </c>
    </row>
    <row r="17" spans="1:13" x14ac:dyDescent="0.4">
      <c r="A17" t="s">
        <v>27</v>
      </c>
      <c r="B17" t="s">
        <v>78</v>
      </c>
      <c r="C17">
        <v>268</v>
      </c>
      <c r="D17">
        <v>30</v>
      </c>
      <c r="E17">
        <v>59</v>
      </c>
      <c r="F17" s="2">
        <v>45</v>
      </c>
      <c r="G17" s="1">
        <v>0.76271186440677963</v>
      </c>
      <c r="H17">
        <v>39</v>
      </c>
      <c r="I17" s="1">
        <v>0.66101694915254239</v>
      </c>
      <c r="J17" s="2">
        <v>36</v>
      </c>
      <c r="K17" s="1">
        <v>0.61016949152542377</v>
      </c>
      <c r="L17" s="2">
        <v>28</v>
      </c>
      <c r="M17" s="1">
        <v>0.47457627118644069</v>
      </c>
    </row>
    <row r="18" spans="1:13" x14ac:dyDescent="0.4">
      <c r="A18" t="s">
        <v>28</v>
      </c>
      <c r="B18" t="s">
        <v>79</v>
      </c>
      <c r="C18">
        <v>96</v>
      </c>
      <c r="D18">
        <v>30</v>
      </c>
      <c r="E18">
        <v>14</v>
      </c>
      <c r="F18" s="2">
        <v>8</v>
      </c>
      <c r="G18" s="1">
        <v>0.5714285714285714</v>
      </c>
      <c r="H18">
        <v>5</v>
      </c>
      <c r="I18" s="1">
        <v>0.35714285714285715</v>
      </c>
      <c r="J18" s="2">
        <v>4</v>
      </c>
      <c r="K18" s="1">
        <v>0.2857142857142857</v>
      </c>
      <c r="L18" s="2">
        <v>2</v>
      </c>
      <c r="M18" s="1">
        <v>0.14285714285714285</v>
      </c>
    </row>
    <row r="19" spans="1:13" x14ac:dyDescent="0.4">
      <c r="A19" t="s">
        <v>29</v>
      </c>
      <c r="B19" t="s">
        <v>80</v>
      </c>
      <c r="C19">
        <v>239</v>
      </c>
      <c r="D19">
        <v>30</v>
      </c>
      <c r="E19">
        <v>59</v>
      </c>
      <c r="F19" s="2">
        <v>40</v>
      </c>
      <c r="G19" s="1">
        <v>0.67796610169491522</v>
      </c>
      <c r="H19">
        <v>35</v>
      </c>
      <c r="I19" s="1">
        <v>0.59322033898305082</v>
      </c>
      <c r="J19" s="2">
        <v>32</v>
      </c>
      <c r="K19" s="1">
        <v>0.5423728813559322</v>
      </c>
      <c r="L19" s="2">
        <v>27</v>
      </c>
      <c r="M19" s="1">
        <v>0.4576271186440678</v>
      </c>
    </row>
    <row r="20" spans="1:13" x14ac:dyDescent="0.4">
      <c r="A20" t="s">
        <v>30</v>
      </c>
      <c r="B20" t="s">
        <v>114</v>
      </c>
      <c r="C20">
        <v>86</v>
      </c>
      <c r="D20">
        <v>30</v>
      </c>
      <c r="E20">
        <v>13</v>
      </c>
      <c r="F20" s="2">
        <v>9</v>
      </c>
      <c r="G20" s="1">
        <v>0.69230769230769229</v>
      </c>
      <c r="H20">
        <v>5</v>
      </c>
      <c r="I20" s="1">
        <v>0.38461538461538464</v>
      </c>
      <c r="J20" s="2">
        <v>5</v>
      </c>
      <c r="K20" s="1">
        <v>0.38461538461538464</v>
      </c>
      <c r="L20" s="2">
        <v>3</v>
      </c>
      <c r="M20" s="1">
        <v>0.23076923076923078</v>
      </c>
    </row>
    <row r="21" spans="1:13" x14ac:dyDescent="0.4">
      <c r="A21" t="s">
        <v>31</v>
      </c>
      <c r="B21" t="s">
        <v>81</v>
      </c>
      <c r="C21">
        <v>506</v>
      </c>
      <c r="D21">
        <v>30</v>
      </c>
      <c r="E21">
        <v>80</v>
      </c>
      <c r="F21" s="2">
        <v>70</v>
      </c>
      <c r="G21" s="1">
        <v>0.875</v>
      </c>
      <c r="H21">
        <v>62</v>
      </c>
      <c r="I21" s="1">
        <v>0.77500000000000002</v>
      </c>
      <c r="J21" s="2">
        <v>59</v>
      </c>
      <c r="K21" s="1">
        <v>0.73750000000000004</v>
      </c>
      <c r="L21" s="2">
        <v>45</v>
      </c>
      <c r="M21" s="1">
        <v>0.5625</v>
      </c>
    </row>
    <row r="22" spans="1:13" x14ac:dyDescent="0.4">
      <c r="A22" t="s">
        <v>32</v>
      </c>
      <c r="B22" t="s">
        <v>82</v>
      </c>
      <c r="C22">
        <v>495</v>
      </c>
      <c r="D22">
        <v>30</v>
      </c>
      <c r="E22">
        <v>66</v>
      </c>
      <c r="F22" s="2">
        <v>54</v>
      </c>
      <c r="G22" s="1">
        <v>0.81818181818181823</v>
      </c>
      <c r="H22">
        <v>46</v>
      </c>
      <c r="I22" s="1">
        <v>0.69696969696969702</v>
      </c>
      <c r="J22" s="2">
        <v>42</v>
      </c>
      <c r="K22" s="1">
        <v>0.63636363636363635</v>
      </c>
      <c r="L22" s="2">
        <v>29</v>
      </c>
      <c r="M22" s="1">
        <v>0.43939393939393939</v>
      </c>
    </row>
    <row r="23" spans="1:13" x14ac:dyDescent="0.4">
      <c r="A23" t="s">
        <v>33</v>
      </c>
      <c r="B23" t="s">
        <v>83</v>
      </c>
      <c r="C23">
        <v>606</v>
      </c>
      <c r="D23">
        <v>30</v>
      </c>
      <c r="E23">
        <v>69</v>
      </c>
      <c r="F23" s="2">
        <v>55</v>
      </c>
      <c r="G23" s="1">
        <v>0.79710144927536231</v>
      </c>
      <c r="H23">
        <v>48</v>
      </c>
      <c r="I23" s="1">
        <v>0.69565217391304346</v>
      </c>
      <c r="J23" s="2">
        <v>45</v>
      </c>
      <c r="K23" s="1">
        <v>0.65217391304347827</v>
      </c>
      <c r="L23" s="2">
        <v>34</v>
      </c>
      <c r="M23" s="1">
        <v>0.49275362318840582</v>
      </c>
    </row>
    <row r="24" spans="1:13" x14ac:dyDescent="0.4">
      <c r="A24" t="s">
        <v>34</v>
      </c>
      <c r="B24" t="s">
        <v>84</v>
      </c>
      <c r="C24">
        <v>306</v>
      </c>
      <c r="D24">
        <v>30</v>
      </c>
      <c r="E24">
        <v>57</v>
      </c>
      <c r="F24" s="2">
        <v>39</v>
      </c>
      <c r="G24" s="1">
        <v>0.68421052631578949</v>
      </c>
      <c r="H24">
        <v>34</v>
      </c>
      <c r="I24" s="1">
        <v>0.59649122807017541</v>
      </c>
      <c r="J24" s="2">
        <v>30</v>
      </c>
      <c r="K24" s="1">
        <v>0.52631578947368418</v>
      </c>
      <c r="L24" s="2">
        <v>26</v>
      </c>
      <c r="M24" s="1">
        <v>0.45614035087719296</v>
      </c>
    </row>
    <row r="25" spans="1:13" x14ac:dyDescent="0.4">
      <c r="A25" t="s">
        <v>35</v>
      </c>
      <c r="B25" t="s">
        <v>85</v>
      </c>
      <c r="C25">
        <v>236</v>
      </c>
      <c r="D25">
        <v>30</v>
      </c>
      <c r="E25">
        <v>53</v>
      </c>
      <c r="F25" s="2">
        <v>41</v>
      </c>
      <c r="G25" s="1">
        <v>0.77358490566037741</v>
      </c>
      <c r="H25">
        <v>36</v>
      </c>
      <c r="I25" s="1">
        <v>0.67924528301886788</v>
      </c>
      <c r="J25" s="2">
        <v>36</v>
      </c>
      <c r="K25" s="1">
        <v>0.67924528301886788</v>
      </c>
      <c r="L25" s="2">
        <v>27</v>
      </c>
      <c r="M25" s="1">
        <v>0.50943396226415094</v>
      </c>
    </row>
    <row r="26" spans="1:13" x14ac:dyDescent="0.4">
      <c r="A26" t="s">
        <v>36</v>
      </c>
      <c r="B26" t="s">
        <v>86</v>
      </c>
      <c r="C26">
        <v>306</v>
      </c>
      <c r="D26">
        <v>30</v>
      </c>
      <c r="E26">
        <v>51</v>
      </c>
      <c r="F26" s="2">
        <v>38</v>
      </c>
      <c r="G26" s="1">
        <v>0.74509803921568629</v>
      </c>
      <c r="H26">
        <v>34</v>
      </c>
      <c r="I26" s="1">
        <v>0.66666666666666663</v>
      </c>
      <c r="J26" s="2">
        <v>30</v>
      </c>
      <c r="K26" s="1">
        <v>0.58823529411764708</v>
      </c>
      <c r="L26" s="2">
        <v>23</v>
      </c>
      <c r="M26" s="1">
        <v>0.45098039215686275</v>
      </c>
    </row>
    <row r="27" spans="1:13" x14ac:dyDescent="0.4">
      <c r="A27" t="s">
        <v>37</v>
      </c>
      <c r="B27" t="s">
        <v>87</v>
      </c>
      <c r="C27">
        <v>154</v>
      </c>
      <c r="D27">
        <v>30</v>
      </c>
      <c r="E27">
        <v>37</v>
      </c>
      <c r="F27" s="2">
        <v>24</v>
      </c>
      <c r="G27" s="1">
        <v>0.64864864864864868</v>
      </c>
      <c r="H27">
        <v>21</v>
      </c>
      <c r="I27" s="1">
        <v>0.56756756756756754</v>
      </c>
      <c r="J27" s="2">
        <v>19</v>
      </c>
      <c r="K27" s="1">
        <v>0.51351351351351349</v>
      </c>
      <c r="L27" s="2">
        <v>13</v>
      </c>
      <c r="M27" s="1">
        <v>0.35135135135135137</v>
      </c>
    </row>
    <row r="28" spans="1:13" x14ac:dyDescent="0.4">
      <c r="A28" t="s">
        <v>38</v>
      </c>
      <c r="B28" t="s">
        <v>88</v>
      </c>
      <c r="C28">
        <v>268</v>
      </c>
      <c r="D28">
        <v>30</v>
      </c>
      <c r="E28">
        <v>48</v>
      </c>
      <c r="F28" s="2">
        <v>30</v>
      </c>
      <c r="G28" s="1">
        <v>0.625</v>
      </c>
      <c r="H28">
        <v>29</v>
      </c>
      <c r="I28" s="1">
        <v>0.60416666666666663</v>
      </c>
      <c r="J28" s="2">
        <v>26</v>
      </c>
      <c r="K28" s="1">
        <v>0.54166666666666663</v>
      </c>
      <c r="L28" s="2">
        <v>18</v>
      </c>
      <c r="M28" s="1">
        <v>0.375</v>
      </c>
    </row>
    <row r="29" spans="1:13" x14ac:dyDescent="0.4">
      <c r="A29" t="s">
        <v>39</v>
      </c>
      <c r="B29" t="s">
        <v>89</v>
      </c>
      <c r="C29">
        <v>222</v>
      </c>
      <c r="D29">
        <v>30</v>
      </c>
      <c r="E29">
        <v>52</v>
      </c>
      <c r="F29" s="2">
        <v>34</v>
      </c>
      <c r="G29" s="1">
        <v>0.65384615384615385</v>
      </c>
      <c r="H29">
        <v>29</v>
      </c>
      <c r="I29" s="1">
        <v>0.55769230769230771</v>
      </c>
      <c r="J29" s="2">
        <v>27</v>
      </c>
      <c r="K29" s="1">
        <v>0.51923076923076927</v>
      </c>
      <c r="L29" s="2">
        <v>20</v>
      </c>
      <c r="M29" s="1">
        <v>0.38461538461538464</v>
      </c>
    </row>
    <row r="30" spans="1:13" x14ac:dyDescent="0.4">
      <c r="A30" t="s">
        <v>40</v>
      </c>
      <c r="B30" t="s">
        <v>90</v>
      </c>
      <c r="C30">
        <v>227</v>
      </c>
      <c r="D30">
        <v>30</v>
      </c>
      <c r="E30">
        <v>59</v>
      </c>
      <c r="F30" s="2">
        <v>39</v>
      </c>
      <c r="G30" s="1">
        <v>0.66101694915254239</v>
      </c>
      <c r="H30">
        <v>33</v>
      </c>
      <c r="I30" s="1">
        <v>0.55932203389830504</v>
      </c>
      <c r="J30" s="2">
        <v>30</v>
      </c>
      <c r="K30" s="1">
        <v>0.50847457627118642</v>
      </c>
      <c r="L30" s="2">
        <v>23</v>
      </c>
      <c r="M30" s="1">
        <v>0.38983050847457629</v>
      </c>
    </row>
    <row r="31" spans="1:13" x14ac:dyDescent="0.4">
      <c r="A31" t="s">
        <v>41</v>
      </c>
      <c r="B31" t="s">
        <v>91</v>
      </c>
      <c r="C31">
        <v>222</v>
      </c>
      <c r="D31">
        <v>30</v>
      </c>
      <c r="E31">
        <v>51</v>
      </c>
      <c r="F31" s="2">
        <v>37</v>
      </c>
      <c r="G31" s="1">
        <v>0.72549019607843135</v>
      </c>
      <c r="H31">
        <v>32</v>
      </c>
      <c r="I31" s="1">
        <v>0.62745098039215685</v>
      </c>
      <c r="J31" s="2">
        <v>30</v>
      </c>
      <c r="K31" s="1">
        <v>0.58823529411764708</v>
      </c>
      <c r="L31" s="2">
        <v>22</v>
      </c>
      <c r="M31" s="1">
        <v>0.43137254901960786</v>
      </c>
    </row>
    <row r="32" spans="1:13" x14ac:dyDescent="0.4">
      <c r="A32" t="s">
        <v>42</v>
      </c>
      <c r="B32" t="s">
        <v>92</v>
      </c>
      <c r="C32">
        <v>228</v>
      </c>
      <c r="D32">
        <v>30</v>
      </c>
      <c r="E32">
        <v>53</v>
      </c>
      <c r="F32" s="2">
        <v>38</v>
      </c>
      <c r="G32" s="1">
        <v>0.71698113207547165</v>
      </c>
      <c r="H32">
        <v>33</v>
      </c>
      <c r="I32" s="1">
        <v>0.62264150943396224</v>
      </c>
      <c r="J32" s="2">
        <v>29</v>
      </c>
      <c r="K32" s="1">
        <v>0.54716981132075471</v>
      </c>
      <c r="L32" s="2">
        <v>26</v>
      </c>
      <c r="M32" s="1">
        <v>0.49056603773584906</v>
      </c>
    </row>
    <row r="33" spans="1:13" x14ac:dyDescent="0.4">
      <c r="A33" t="s">
        <v>43</v>
      </c>
      <c r="B33" t="s">
        <v>93</v>
      </c>
      <c r="C33">
        <v>225</v>
      </c>
      <c r="D33">
        <v>30</v>
      </c>
      <c r="E33">
        <v>58</v>
      </c>
      <c r="F33" s="2">
        <v>42</v>
      </c>
      <c r="G33" s="1">
        <v>0.72413793103448276</v>
      </c>
      <c r="H33">
        <v>37</v>
      </c>
      <c r="I33" s="1">
        <v>0.63793103448275867</v>
      </c>
      <c r="J33" s="2">
        <v>33</v>
      </c>
      <c r="K33" s="1">
        <v>0.56896551724137934</v>
      </c>
      <c r="L33" s="2">
        <v>25</v>
      </c>
      <c r="M33" s="1">
        <v>0.43103448275862066</v>
      </c>
    </row>
    <row r="34" spans="1:13" x14ac:dyDescent="0.4">
      <c r="A34" t="s">
        <v>44</v>
      </c>
      <c r="B34" t="s">
        <v>94</v>
      </c>
      <c r="C34">
        <v>243</v>
      </c>
      <c r="D34">
        <v>30</v>
      </c>
      <c r="E34">
        <v>61</v>
      </c>
      <c r="F34" s="2">
        <v>51</v>
      </c>
      <c r="G34" s="1">
        <v>0.83606557377049184</v>
      </c>
      <c r="H34">
        <v>46</v>
      </c>
      <c r="I34" s="1">
        <v>0.75409836065573765</v>
      </c>
      <c r="J34" s="2">
        <v>42</v>
      </c>
      <c r="K34" s="1">
        <v>0.68852459016393441</v>
      </c>
      <c r="L34" s="2">
        <v>35</v>
      </c>
      <c r="M34" s="1">
        <v>0.57377049180327866</v>
      </c>
    </row>
    <row r="35" spans="1:13" x14ac:dyDescent="0.4">
      <c r="A35" t="s">
        <v>45</v>
      </c>
      <c r="B35" t="s">
        <v>95</v>
      </c>
      <c r="C35">
        <v>205</v>
      </c>
      <c r="D35">
        <v>30</v>
      </c>
      <c r="E35">
        <v>47</v>
      </c>
      <c r="F35" s="2">
        <v>38</v>
      </c>
      <c r="G35" s="1">
        <v>0.80851063829787229</v>
      </c>
      <c r="H35">
        <v>27</v>
      </c>
      <c r="I35" s="1">
        <v>0.57446808510638303</v>
      </c>
      <c r="J35" s="2">
        <v>23</v>
      </c>
      <c r="K35" s="1">
        <v>0.48936170212765956</v>
      </c>
      <c r="L35" s="2">
        <v>17</v>
      </c>
      <c r="M35" s="1">
        <v>0.36170212765957449</v>
      </c>
    </row>
    <row r="36" spans="1:13" x14ac:dyDescent="0.4">
      <c r="A36" t="s">
        <v>46</v>
      </c>
      <c r="B36" t="s">
        <v>96</v>
      </c>
      <c r="C36">
        <v>249</v>
      </c>
      <c r="D36">
        <v>30</v>
      </c>
      <c r="E36">
        <v>61</v>
      </c>
      <c r="F36" s="2">
        <v>50</v>
      </c>
      <c r="G36" s="1">
        <v>0.81967213114754101</v>
      </c>
      <c r="H36">
        <v>45</v>
      </c>
      <c r="I36" s="1">
        <v>0.73770491803278693</v>
      </c>
      <c r="J36" s="2">
        <v>41</v>
      </c>
      <c r="K36" s="1">
        <v>0.67213114754098358</v>
      </c>
      <c r="L36" s="2">
        <v>34</v>
      </c>
      <c r="M36" s="1">
        <v>0.55737704918032782</v>
      </c>
    </row>
    <row r="37" spans="1:13" x14ac:dyDescent="0.4">
      <c r="A37" t="s">
        <v>47</v>
      </c>
      <c r="B37" t="s">
        <v>97</v>
      </c>
      <c r="C37">
        <v>226</v>
      </c>
      <c r="D37">
        <v>30</v>
      </c>
      <c r="E37">
        <v>56</v>
      </c>
      <c r="F37" s="2">
        <v>36</v>
      </c>
      <c r="G37" s="1">
        <v>0.6428571428571429</v>
      </c>
      <c r="H37">
        <v>32</v>
      </c>
      <c r="I37" s="1">
        <v>0.5714285714285714</v>
      </c>
      <c r="J37" s="2">
        <v>30</v>
      </c>
      <c r="K37" s="1">
        <v>0.5357142857142857</v>
      </c>
      <c r="L37" s="2">
        <v>21</v>
      </c>
      <c r="M37" s="1">
        <v>0.375</v>
      </c>
    </row>
    <row r="38" spans="1:13" x14ac:dyDescent="0.4">
      <c r="A38" t="s">
        <v>48</v>
      </c>
      <c r="B38" t="s">
        <v>98</v>
      </c>
      <c r="C38">
        <v>240</v>
      </c>
      <c r="D38">
        <v>30</v>
      </c>
      <c r="E38">
        <v>69</v>
      </c>
      <c r="F38" s="2">
        <v>43</v>
      </c>
      <c r="G38" s="1">
        <v>0.62318840579710144</v>
      </c>
      <c r="H38">
        <v>41</v>
      </c>
      <c r="I38" s="1">
        <v>0.59420289855072461</v>
      </c>
      <c r="J38" s="2">
        <v>39</v>
      </c>
      <c r="K38" s="1">
        <v>0.56521739130434778</v>
      </c>
      <c r="L38" s="2">
        <v>30</v>
      </c>
      <c r="M38" s="1">
        <v>0.43478260869565216</v>
      </c>
    </row>
    <row r="39" spans="1:13" x14ac:dyDescent="0.4">
      <c r="A39" t="s">
        <v>49</v>
      </c>
      <c r="B39" t="s">
        <v>99</v>
      </c>
      <c r="C39">
        <v>253</v>
      </c>
      <c r="D39">
        <v>30</v>
      </c>
      <c r="E39">
        <v>75</v>
      </c>
      <c r="F39" s="2">
        <v>46</v>
      </c>
      <c r="G39" s="1">
        <v>0.61333333333333329</v>
      </c>
      <c r="H39">
        <v>43</v>
      </c>
      <c r="I39" s="1">
        <v>0.57333333333333336</v>
      </c>
      <c r="J39" s="2">
        <v>40</v>
      </c>
      <c r="K39" s="1">
        <v>0.53333333333333333</v>
      </c>
      <c r="L39" s="2">
        <v>31</v>
      </c>
      <c r="M39" s="1">
        <v>0.41333333333333333</v>
      </c>
    </row>
    <row r="40" spans="1:13" x14ac:dyDescent="0.4">
      <c r="A40" t="s">
        <v>50</v>
      </c>
      <c r="B40" t="s">
        <v>100</v>
      </c>
      <c r="C40">
        <v>242</v>
      </c>
      <c r="D40">
        <v>30</v>
      </c>
      <c r="E40">
        <v>73</v>
      </c>
      <c r="F40" s="2">
        <v>50</v>
      </c>
      <c r="G40" s="1">
        <v>0.68493150684931503</v>
      </c>
      <c r="H40">
        <v>45</v>
      </c>
      <c r="I40" s="1">
        <v>0.61643835616438358</v>
      </c>
      <c r="J40" s="2">
        <v>41</v>
      </c>
      <c r="K40" s="1">
        <v>0.56164383561643838</v>
      </c>
      <c r="L40" s="2">
        <v>33</v>
      </c>
      <c r="M40" s="1">
        <v>0.45205479452054792</v>
      </c>
    </row>
    <row r="41" spans="1:13" x14ac:dyDescent="0.4">
      <c r="A41" t="s">
        <v>51</v>
      </c>
      <c r="B41" t="s">
        <v>101</v>
      </c>
      <c r="C41">
        <v>248</v>
      </c>
      <c r="D41">
        <v>30</v>
      </c>
      <c r="E41">
        <v>65</v>
      </c>
      <c r="F41" s="2">
        <v>47</v>
      </c>
      <c r="G41" s="1">
        <v>0.72307692307692306</v>
      </c>
      <c r="H41">
        <v>41</v>
      </c>
      <c r="I41" s="1">
        <v>0.63076923076923075</v>
      </c>
      <c r="J41" s="2">
        <v>38</v>
      </c>
      <c r="K41" s="1">
        <v>0.58461538461538465</v>
      </c>
      <c r="L41" s="2">
        <v>25</v>
      </c>
      <c r="M41" s="1">
        <v>0.38461538461538464</v>
      </c>
    </row>
    <row r="42" spans="1:13" x14ac:dyDescent="0.4">
      <c r="A42" t="s">
        <v>52</v>
      </c>
      <c r="B42" t="s">
        <v>102</v>
      </c>
      <c r="C42">
        <v>253</v>
      </c>
      <c r="D42">
        <v>30</v>
      </c>
      <c r="E42">
        <v>75</v>
      </c>
      <c r="F42" s="2">
        <v>51</v>
      </c>
      <c r="G42" s="1">
        <v>0.68</v>
      </c>
      <c r="H42">
        <v>43</v>
      </c>
      <c r="I42" s="1">
        <v>0.57333333333333336</v>
      </c>
      <c r="J42" s="2">
        <v>42</v>
      </c>
      <c r="K42" s="1">
        <v>0.56000000000000005</v>
      </c>
      <c r="L42" s="2">
        <v>31</v>
      </c>
      <c r="M42" s="1">
        <v>0.41333333333333333</v>
      </c>
    </row>
    <row r="43" spans="1:13" x14ac:dyDescent="0.4">
      <c r="A43" t="s">
        <v>53</v>
      </c>
      <c r="B43" t="s">
        <v>103</v>
      </c>
      <c r="C43">
        <v>247</v>
      </c>
      <c r="D43">
        <v>30</v>
      </c>
      <c r="E43">
        <v>71</v>
      </c>
      <c r="F43" s="2">
        <v>52</v>
      </c>
      <c r="G43" s="1">
        <v>0.73239436619718312</v>
      </c>
      <c r="H43">
        <v>45</v>
      </c>
      <c r="I43" s="1">
        <v>0.63380281690140849</v>
      </c>
      <c r="J43" s="2">
        <v>40</v>
      </c>
      <c r="K43" s="1">
        <v>0.56338028169014087</v>
      </c>
      <c r="L43" s="2">
        <v>30</v>
      </c>
      <c r="M43" s="1">
        <v>0.42253521126760563</v>
      </c>
    </row>
    <row r="44" spans="1:13" x14ac:dyDescent="0.4">
      <c r="A44" t="s">
        <v>54</v>
      </c>
      <c r="B44" t="s">
        <v>104</v>
      </c>
      <c r="C44">
        <v>310</v>
      </c>
      <c r="D44">
        <v>30</v>
      </c>
      <c r="E44">
        <v>80</v>
      </c>
      <c r="F44" s="2">
        <v>61</v>
      </c>
      <c r="G44" s="1">
        <v>0.76249999999999996</v>
      </c>
      <c r="H44">
        <v>55</v>
      </c>
      <c r="I44" s="1">
        <v>0.6875</v>
      </c>
      <c r="J44" s="2">
        <v>53</v>
      </c>
      <c r="K44" s="1">
        <v>0.66249999999999998</v>
      </c>
      <c r="L44" s="2">
        <v>44</v>
      </c>
      <c r="M44" s="1">
        <v>0.55000000000000004</v>
      </c>
    </row>
    <row r="45" spans="1:13" x14ac:dyDescent="0.4">
      <c r="A45" t="s">
        <v>55</v>
      </c>
      <c r="B45" t="s">
        <v>105</v>
      </c>
      <c r="C45">
        <v>321</v>
      </c>
      <c r="D45">
        <v>30</v>
      </c>
      <c r="E45">
        <v>61</v>
      </c>
      <c r="F45" s="2">
        <v>49</v>
      </c>
      <c r="G45" s="1">
        <v>0.80327868852459017</v>
      </c>
      <c r="H45">
        <v>42</v>
      </c>
      <c r="I45" s="1">
        <v>0.68852459016393441</v>
      </c>
      <c r="J45" s="2">
        <v>38</v>
      </c>
      <c r="K45" s="1">
        <v>0.62295081967213117</v>
      </c>
      <c r="L45" s="2">
        <v>27</v>
      </c>
      <c r="M45" s="1">
        <v>0.44262295081967212</v>
      </c>
    </row>
    <row r="46" spans="1:13" x14ac:dyDescent="0.4">
      <c r="A46" t="s">
        <v>56</v>
      </c>
      <c r="B46" t="s">
        <v>106</v>
      </c>
      <c r="C46">
        <v>321</v>
      </c>
      <c r="D46">
        <v>30</v>
      </c>
      <c r="E46">
        <v>62</v>
      </c>
      <c r="F46" s="2">
        <v>50</v>
      </c>
      <c r="G46" s="1">
        <v>0.80645161290322576</v>
      </c>
      <c r="H46">
        <v>45</v>
      </c>
      <c r="I46" s="1">
        <v>0.72580645161290325</v>
      </c>
      <c r="J46" s="2">
        <v>41</v>
      </c>
      <c r="K46" s="1">
        <v>0.66129032258064513</v>
      </c>
      <c r="L46" s="2">
        <v>32</v>
      </c>
      <c r="M46" s="1">
        <v>0.5161290322580645</v>
      </c>
    </row>
    <row r="47" spans="1:13" x14ac:dyDescent="0.4">
      <c r="A47" t="s">
        <v>57</v>
      </c>
      <c r="B47" t="s">
        <v>107</v>
      </c>
      <c r="C47">
        <v>323</v>
      </c>
      <c r="D47">
        <v>30</v>
      </c>
      <c r="E47">
        <v>71</v>
      </c>
      <c r="F47" s="2">
        <v>55</v>
      </c>
      <c r="G47" s="1">
        <v>0.77464788732394363</v>
      </c>
      <c r="H47">
        <v>48</v>
      </c>
      <c r="I47" s="1">
        <v>0.676056338028169</v>
      </c>
      <c r="J47" s="2">
        <v>42</v>
      </c>
      <c r="K47" s="1">
        <v>0.59154929577464788</v>
      </c>
      <c r="L47" s="2">
        <v>37</v>
      </c>
      <c r="M47" s="1">
        <v>0.52112676056338025</v>
      </c>
    </row>
    <row r="48" spans="1:13" x14ac:dyDescent="0.4">
      <c r="A48" t="s">
        <v>58</v>
      </c>
      <c r="B48" t="s">
        <v>108</v>
      </c>
      <c r="C48">
        <v>323</v>
      </c>
      <c r="D48">
        <v>30</v>
      </c>
      <c r="E48">
        <v>69</v>
      </c>
      <c r="F48" s="2">
        <v>54</v>
      </c>
      <c r="G48" s="1">
        <v>0.78260869565217395</v>
      </c>
      <c r="H48">
        <v>48</v>
      </c>
      <c r="I48" s="1">
        <v>0.69565217391304346</v>
      </c>
      <c r="J48" s="2">
        <v>43</v>
      </c>
      <c r="K48" s="1">
        <v>0.62318840579710144</v>
      </c>
      <c r="L48" s="2">
        <v>34</v>
      </c>
      <c r="M48" s="1">
        <v>0.49275362318840582</v>
      </c>
    </row>
    <row r="49" spans="1:13" x14ac:dyDescent="0.4">
      <c r="A49" t="s">
        <v>59</v>
      </c>
      <c r="B49" t="s">
        <v>109</v>
      </c>
      <c r="C49">
        <v>298</v>
      </c>
      <c r="D49">
        <v>30</v>
      </c>
      <c r="E49">
        <v>60</v>
      </c>
      <c r="F49" s="2">
        <v>48</v>
      </c>
      <c r="G49" s="1">
        <v>0.8</v>
      </c>
      <c r="H49">
        <v>42</v>
      </c>
      <c r="I49" s="1">
        <v>0.7</v>
      </c>
      <c r="J49" s="2">
        <v>39</v>
      </c>
      <c r="K49" s="1">
        <v>0.65</v>
      </c>
      <c r="L49" s="2">
        <v>32</v>
      </c>
      <c r="M49" s="1">
        <v>0.53333333333333333</v>
      </c>
    </row>
    <row r="50" spans="1:13" x14ac:dyDescent="0.4">
      <c r="A50" t="s">
        <v>60</v>
      </c>
      <c r="B50" t="s">
        <v>110</v>
      </c>
      <c r="C50">
        <v>287</v>
      </c>
      <c r="D50">
        <v>30</v>
      </c>
      <c r="E50">
        <v>55</v>
      </c>
      <c r="F50" s="2">
        <v>47</v>
      </c>
      <c r="G50" s="1">
        <v>0.8545454545454545</v>
      </c>
      <c r="H50">
        <v>42</v>
      </c>
      <c r="I50" s="1">
        <v>0.76363636363636367</v>
      </c>
      <c r="J50" s="2">
        <v>38</v>
      </c>
      <c r="K50" s="1">
        <v>0.69090909090909092</v>
      </c>
      <c r="L50" s="2">
        <v>28</v>
      </c>
      <c r="M50" s="1">
        <v>0.50909090909090904</v>
      </c>
    </row>
    <row r="51" spans="1:13" x14ac:dyDescent="0.4">
      <c r="A51" t="s">
        <v>61</v>
      </c>
      <c r="B51" t="s">
        <v>111</v>
      </c>
      <c r="C51">
        <v>287</v>
      </c>
      <c r="D51">
        <v>30</v>
      </c>
      <c r="E51">
        <v>58</v>
      </c>
      <c r="F51" s="2">
        <v>44</v>
      </c>
      <c r="G51" s="1">
        <v>0.75862068965517238</v>
      </c>
      <c r="H51">
        <v>42</v>
      </c>
      <c r="I51" s="1">
        <v>0.72413793103448276</v>
      </c>
      <c r="J51" s="2">
        <v>39</v>
      </c>
      <c r="K51" s="1">
        <v>0.67241379310344829</v>
      </c>
      <c r="L51" s="2">
        <v>29</v>
      </c>
      <c r="M51" s="1">
        <v>0.5</v>
      </c>
    </row>
    <row r="52" spans="1:13" x14ac:dyDescent="0.4">
      <c r="G52" s="4"/>
    </row>
    <row r="53" spans="1:13" x14ac:dyDescent="0.4">
      <c r="B53" t="s">
        <v>113</v>
      </c>
      <c r="C53">
        <f>SUM(C2:C51)</f>
        <v>15278</v>
      </c>
      <c r="D53">
        <f t="shared" ref="D53:E53" si="0">SUM(D2:D51)</f>
        <v>1500</v>
      </c>
      <c r="E53">
        <f t="shared" si="0"/>
        <v>3662</v>
      </c>
      <c r="F53">
        <f t="shared" ref="F53:L53" si="1">SUM(F2:F51)</f>
        <v>2795</v>
      </c>
      <c r="H53">
        <f t="shared" si="1"/>
        <v>2423</v>
      </c>
      <c r="J53">
        <f t="shared" si="1"/>
        <v>2205</v>
      </c>
      <c r="L53">
        <f t="shared" si="1"/>
        <v>1684</v>
      </c>
    </row>
    <row r="54" spans="1:13" x14ac:dyDescent="0.4">
      <c r="B54" t="s">
        <v>112</v>
      </c>
      <c r="C54">
        <f>AVERAGE(C2:C51)</f>
        <v>305.56</v>
      </c>
      <c r="D54">
        <f t="shared" ref="D54:E54" si="2">AVERAGE(D2:D51)</f>
        <v>30</v>
      </c>
      <c r="E54">
        <f t="shared" si="2"/>
        <v>73.239999999999995</v>
      </c>
      <c r="F54">
        <f>AVERAGE(F2:F51)</f>
        <v>55.9</v>
      </c>
      <c r="G54" s="1">
        <f>AVERAGE(G2:G51)</f>
        <v>0.73620622632751509</v>
      </c>
      <c r="H54">
        <f t="shared" ref="H54:M54" si="3">AVERAGE(H2:H51)</f>
        <v>48.46</v>
      </c>
      <c r="I54" s="1">
        <f t="shared" si="3"/>
        <v>0.63592230613909106</v>
      </c>
      <c r="J54" s="5">
        <f t="shared" si="3"/>
        <v>44.1</v>
      </c>
      <c r="K54" s="1">
        <f t="shared" si="3"/>
        <v>0.58102278572563126</v>
      </c>
      <c r="L54">
        <f t="shared" si="3"/>
        <v>33.68</v>
      </c>
      <c r="M54" s="1">
        <f t="shared" si="3"/>
        <v>0.4420874132175136</v>
      </c>
    </row>
    <row r="55" spans="1:13" x14ac:dyDescent="0.4">
      <c r="G55" s="3"/>
    </row>
    <row r="56" spans="1:13" x14ac:dyDescent="0.4">
      <c r="G56" s="3"/>
    </row>
    <row r="57" spans="1:13" x14ac:dyDescent="0.4">
      <c r="G57" s="3"/>
    </row>
    <row r="58" spans="1:13" x14ac:dyDescent="0.4">
      <c r="G58" s="3"/>
    </row>
    <row r="59" spans="1:13" x14ac:dyDescent="0.4">
      <c r="G59" s="3"/>
    </row>
    <row r="60" spans="1:13" x14ac:dyDescent="0.4">
      <c r="G6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ICARUS</dc:creator>
  <cp:lastModifiedBy>Icarus Shar</cp:lastModifiedBy>
  <dcterms:created xsi:type="dcterms:W3CDTF">2015-06-05T18:19:34Z</dcterms:created>
  <dcterms:modified xsi:type="dcterms:W3CDTF">2026-05-02T04:30:40Z</dcterms:modified>
</cp:coreProperties>
</file>